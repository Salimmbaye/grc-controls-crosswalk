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rosswalk" sheetId="2" state="visible" r:id="rId4"/>
    <sheet name="Lookup Tool" sheetId="3" state="visible" r:id="rId5"/>
  </sheets>
  <definedNames>
    <definedName function="false" hidden="true" localSheetId="1" name="_xlnm._FilterDatabase" vbProcedure="false">Crosswalk!$A$1:$G$32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<sst xmlns="http://schemas.openxmlformats.org/spreadsheetml/2006/main" count="252" uniqueCount="206">
  <si>
    <t xml:space="preserve">Security Controls Crosswalk — NIST CSF / 800-53 / ISO 27001 / CIS</t>
  </si>
  <si>
    <t xml:space="preserve">Maps one control area to its equivalent across four frameworks. Lab/portfolio project.</t>
  </si>
  <si>
    <t xml:space="preserve">Why a crosswalk</t>
  </si>
  <si>
    <t xml:space="preserve">Organizations answer to several frameworks at once. A crosswalk lets you ASSESS ONCE, COMPLY MANY — collect evidence one time and apply it across audits, and spot coverage gaps.</t>
  </si>
  <si>
    <t xml:space="preserve">Crosswalk</t>
  </si>
  <si>
    <t xml:space="preserve">The full mapping of 31 control areas. Use the AutoFilter (row 1) to filter by Domain or search a framework column.</t>
  </si>
  <si>
    <t xml:space="preserve">Lookup Tool</t>
  </si>
  <si>
    <t xml:space="preserve">Pick a control area from the dropdown and see its equivalent control in every framework (INDEX/MATCH formulas).</t>
  </si>
  <si>
    <t xml:space="preserve">Important caveat</t>
  </si>
  <si>
    <t xml:space="preserve">Mappings are MANY-TO-MANY professional judgments, not exact equals. One CSF item often maps to several 800-53 controls; some have no equivalent (shown as a dash).</t>
  </si>
  <si>
    <t xml:space="preserve">Frameworks</t>
  </si>
  <si>
    <t xml:space="preserve">NIST CSF 2.0 (outcomes) | NIST SP 800-53 r5 (detailed catalog) | ISO/IEC 27001:2022 Annex A (certifiable) | CIS Controls v8 (prioritized checklist).</t>
  </si>
  <si>
    <t xml:space="preserve">Provenance</t>
  </si>
  <si>
    <t xml:space="preserve">Curated for education, aligned to published NIST OLIR / CIS / ISO sources. Validate against official sources before audit use.</t>
  </si>
  <si>
    <t xml:space="preserve">Prepared by</t>
  </si>
  <si>
    <t xml:space="preserve">Salim Mbaye</t>
  </si>
  <si>
    <t xml:space="preserve">Control Area</t>
  </si>
  <si>
    <t xml:space="preserve">Domain</t>
  </si>
  <si>
    <t xml:space="preserve">NIST CSF 2.0</t>
  </si>
  <si>
    <t xml:space="preserve">NIST 800-53 r5</t>
  </si>
  <si>
    <t xml:space="preserve">ISO 27001:2022</t>
  </si>
  <si>
    <t xml:space="preserve">CIS v8</t>
  </si>
  <si>
    <t xml:space="preserve">Description</t>
  </si>
  <si>
    <t xml:space="preserve">Security policy &amp; governance</t>
  </si>
  <si>
    <t xml:space="preserve">Govern</t>
  </si>
  <si>
    <t xml:space="preserve">GV.PO-01</t>
  </si>
  <si>
    <t xml:space="preserve">PM-1, PL-1</t>
  </si>
  <si>
    <t xml:space="preserve">A.5.1</t>
  </si>
  <si>
    <t xml:space="preserve">—</t>
  </si>
  <si>
    <t xml:space="preserve">Establish, communicate, and maintain information security policy and governance.</t>
  </si>
  <si>
    <t xml:space="preserve">Roles &amp; responsibilities</t>
  </si>
  <si>
    <t xml:space="preserve">GV.RR-02</t>
  </si>
  <si>
    <t xml:space="preserve">PM-2, PS-7</t>
  </si>
  <si>
    <t xml:space="preserve">A.5.2, A.5.4</t>
  </si>
  <si>
    <t xml:space="preserve">Define and assign security roles, responsibilities, and authorities.</t>
  </si>
  <si>
    <t xml:space="preserve">Risk management strategy</t>
  </si>
  <si>
    <t xml:space="preserve">GV.RM-01</t>
  </si>
  <si>
    <t xml:space="preserve">PM-9, RA-1</t>
  </si>
  <si>
    <t xml:space="preserve">Establish and maintain an organizational risk management strategy.</t>
  </si>
  <si>
    <t xml:space="preserve">Supply chain / third-party risk</t>
  </si>
  <si>
    <t xml:space="preserve">GV.SC-01</t>
  </si>
  <si>
    <t xml:space="preserve">SR-1, SR-2, SA-9</t>
  </si>
  <si>
    <t xml:space="preserve">A.5.19, A.5.20, A.5.21, A.5.22</t>
  </si>
  <si>
    <t xml:space="preserve">15.1, 15.2, 15.3</t>
  </si>
  <si>
    <t xml:space="preserve">Manage security risk from suppliers and external service providers.</t>
  </si>
  <si>
    <t xml:space="preserve">Hardware asset inventory</t>
  </si>
  <si>
    <t xml:space="preserve">Identify</t>
  </si>
  <si>
    <t xml:space="preserve">ID.AM-01</t>
  </si>
  <si>
    <t xml:space="preserve">CM-8</t>
  </si>
  <si>
    <t xml:space="preserve">A.5.9</t>
  </si>
  <si>
    <t xml:space="preserve">1.1, 1.2</t>
  </si>
  <si>
    <t xml:space="preserve">Maintain an inventory of enterprise hardware assets.</t>
  </si>
  <si>
    <t xml:space="preserve">Software asset inventory</t>
  </si>
  <si>
    <t xml:space="preserve">ID.AM-02</t>
  </si>
  <si>
    <t xml:space="preserve">CM-8, CM-10</t>
  </si>
  <si>
    <t xml:space="preserve">2.1, 2.2</t>
  </si>
  <si>
    <t xml:space="preserve">Maintain an inventory of authorized software.</t>
  </si>
  <si>
    <t xml:space="preserve">Data classification</t>
  </si>
  <si>
    <t xml:space="preserve">ID.AM-07</t>
  </si>
  <si>
    <t xml:space="preserve">RA-2, CM-8</t>
  </si>
  <si>
    <t xml:space="preserve">A.5.12, A.5.13</t>
  </si>
  <si>
    <t xml:space="preserve">3.7</t>
  </si>
  <si>
    <t xml:space="preserve">Classify and label data by sensitivity.</t>
  </si>
  <si>
    <t xml:space="preserve">Risk assessment</t>
  </si>
  <si>
    <t xml:space="preserve">ID.RA-04</t>
  </si>
  <si>
    <t xml:space="preserve">RA-3</t>
  </si>
  <si>
    <t xml:space="preserve">A.5.1, A.8.8</t>
  </si>
  <si>
    <t xml:space="preserve">Assess cybersecurity risk to the organization.</t>
  </si>
  <si>
    <t xml:space="preserve">Vulnerability identification</t>
  </si>
  <si>
    <t xml:space="preserve">ID.RA-01</t>
  </si>
  <si>
    <t xml:space="preserve">RA-5</t>
  </si>
  <si>
    <t xml:space="preserve">A.8.8</t>
  </si>
  <si>
    <t xml:space="preserve">7.1, 7.5, 7.6</t>
  </si>
  <si>
    <t xml:space="preserve">Identify and document asset vulnerabilities.</t>
  </si>
  <si>
    <t xml:space="preserve">Identity management</t>
  </si>
  <si>
    <t xml:space="preserve">Protect</t>
  </si>
  <si>
    <t xml:space="preserve">PR.AA-01</t>
  </si>
  <si>
    <t xml:space="preserve">IA-2, IA-4, AC-2</t>
  </si>
  <si>
    <t xml:space="preserve">A.5.16, A.8.2</t>
  </si>
  <si>
    <t xml:space="preserve">5.1, 5.2, 5.3</t>
  </si>
  <si>
    <t xml:space="preserve">Issue, manage, and revoke identities and credentials.</t>
  </si>
  <si>
    <t xml:space="preserve">Multi-factor authentication</t>
  </si>
  <si>
    <t xml:space="preserve">PR.AA-03</t>
  </si>
  <si>
    <t xml:space="preserve">IA-2(1), IA-2(2)</t>
  </si>
  <si>
    <t xml:space="preserve">A.8.5</t>
  </si>
  <si>
    <t xml:space="preserve">6.3, 6.4, 6.5</t>
  </si>
  <si>
    <t xml:space="preserve">Authenticate users; enforce MFA for remote and privileged access.</t>
  </si>
  <si>
    <t xml:space="preserve">Least privilege / access control</t>
  </si>
  <si>
    <t xml:space="preserve">PR.AA-05</t>
  </si>
  <si>
    <t xml:space="preserve">AC-3, AC-6</t>
  </si>
  <si>
    <t xml:space="preserve">A.8.2, A.8.3, A.8.18</t>
  </si>
  <si>
    <t xml:space="preserve">6.1, 6.2, 6.8</t>
  </si>
  <si>
    <t xml:space="preserve">Enforce least-privilege and manage access permissions.</t>
  </si>
  <si>
    <t xml:space="preserve">Security awareness training</t>
  </si>
  <si>
    <t xml:space="preserve">PR.AT-01</t>
  </si>
  <si>
    <t xml:space="preserve">AT-2</t>
  </si>
  <si>
    <t xml:space="preserve">A.6.3</t>
  </si>
  <si>
    <t xml:space="preserve">14.1, 14.2</t>
  </si>
  <si>
    <t xml:space="preserve">Provide security awareness training to all users.</t>
  </si>
  <si>
    <t xml:space="preserve">Role-based security training</t>
  </si>
  <si>
    <t xml:space="preserve">PR.AT-02</t>
  </si>
  <si>
    <t xml:space="preserve">AT-3</t>
  </si>
  <si>
    <t xml:space="preserve">14.9</t>
  </si>
  <si>
    <t xml:space="preserve">Provide specialized training for privileged/specialized roles.</t>
  </si>
  <si>
    <t xml:space="preserve">Data-at-rest encryption</t>
  </si>
  <si>
    <t xml:space="preserve">PR.DS-01</t>
  </si>
  <si>
    <t xml:space="preserve">SC-28</t>
  </si>
  <si>
    <t xml:space="preserve">A.8.24</t>
  </si>
  <si>
    <t xml:space="preserve">3.11</t>
  </si>
  <si>
    <t xml:space="preserve">Protect the confidentiality and integrity of data at rest.</t>
  </si>
  <si>
    <t xml:space="preserve">Data-in-transit encryption</t>
  </si>
  <si>
    <t xml:space="preserve">PR.DS-02</t>
  </si>
  <si>
    <t xml:space="preserve">SC-8</t>
  </si>
  <si>
    <t xml:space="preserve">A.8.20, A.8.24</t>
  </si>
  <si>
    <t xml:space="preserve">3.10</t>
  </si>
  <si>
    <t xml:space="preserve">Protect data in transit with encryption.</t>
  </si>
  <si>
    <t xml:space="preserve">Cryptographic key management</t>
  </si>
  <si>
    <t xml:space="preserve">SC-12, SC-13</t>
  </si>
  <si>
    <t xml:space="preserve">Manage cryptographic keys throughout their lifecycle.</t>
  </si>
  <si>
    <t xml:space="preserve">Secure configuration / baselines</t>
  </si>
  <si>
    <t xml:space="preserve">PR.PS-01</t>
  </si>
  <si>
    <t xml:space="preserve">CM-2, CM-6</t>
  </si>
  <si>
    <t xml:space="preserve">A.8.9</t>
  </si>
  <si>
    <t xml:space="preserve">4.1, 4.2</t>
  </si>
  <si>
    <t xml:space="preserve">Establish and enforce secure configuration baselines.</t>
  </si>
  <si>
    <t xml:space="preserve">Patch &amp; flaw remediation</t>
  </si>
  <si>
    <t xml:space="preserve">PR.PS-02</t>
  </si>
  <si>
    <t xml:space="preserve">SI-2</t>
  </si>
  <si>
    <t xml:space="preserve">7.3, 7.4</t>
  </si>
  <si>
    <t xml:space="preserve">Identify, test, and apply software patches.</t>
  </si>
  <si>
    <t xml:space="preserve">Malware defenses</t>
  </si>
  <si>
    <t xml:space="preserve">PR.PS-05</t>
  </si>
  <si>
    <t xml:space="preserve">SI-3</t>
  </si>
  <si>
    <t xml:space="preserve">A.8.7</t>
  </si>
  <si>
    <t xml:space="preserve">10.1, 10.2</t>
  </si>
  <si>
    <t xml:space="preserve">Deploy and maintain anti-malware protections.</t>
  </si>
  <si>
    <t xml:space="preserve">Audit logging</t>
  </si>
  <si>
    <t xml:space="preserve">PR.PS-04</t>
  </si>
  <si>
    <t xml:space="preserve">AU-2, AU-12</t>
  </si>
  <si>
    <t xml:space="preserve">A.8.15</t>
  </si>
  <si>
    <t xml:space="preserve">8.1, 8.2, 8.5</t>
  </si>
  <si>
    <t xml:space="preserve">Generate and retain audit logs for security events.</t>
  </si>
  <si>
    <t xml:space="preserve">Network segmentation</t>
  </si>
  <si>
    <t xml:space="preserve">PR.IR-01</t>
  </si>
  <si>
    <t xml:space="preserve">SC-7</t>
  </si>
  <si>
    <t xml:space="preserve">A.8.20, A.8.22</t>
  </si>
  <si>
    <t xml:space="preserve">12.2, 4.4</t>
  </si>
  <si>
    <t xml:space="preserve">Protect network integrity via segmentation and boundary controls.</t>
  </si>
  <si>
    <t xml:space="preserve">Email &amp; web protection</t>
  </si>
  <si>
    <t xml:space="preserve">SC-7, SI-8</t>
  </si>
  <si>
    <t xml:space="preserve">A.8.23</t>
  </si>
  <si>
    <t xml:space="preserve">9.1, 9.2</t>
  </si>
  <si>
    <t xml:space="preserve">Protect against email- and web-borne threats.</t>
  </si>
  <si>
    <t xml:space="preserve">Continuous monitoring</t>
  </si>
  <si>
    <t xml:space="preserve">Detect</t>
  </si>
  <si>
    <t xml:space="preserve">DE.CM-01</t>
  </si>
  <si>
    <t xml:space="preserve">CA-7, SI-4</t>
  </si>
  <si>
    <t xml:space="preserve">A.8.16</t>
  </si>
  <si>
    <t xml:space="preserve">8.11, 13.1</t>
  </si>
  <si>
    <t xml:space="preserve">Monitor networks and systems to detect adverse events.</t>
  </si>
  <si>
    <t xml:space="preserve">Adverse event analysis</t>
  </si>
  <si>
    <t xml:space="preserve">DE.AE-02</t>
  </si>
  <si>
    <t xml:space="preserve">SI-4, AU-6, IR-4</t>
  </si>
  <si>
    <t xml:space="preserve">8.11, 17.4</t>
  </si>
  <si>
    <t xml:space="preserve">Analyze events to understand attacks and detect incidents.</t>
  </si>
  <si>
    <t xml:space="preserve">Incident response plan</t>
  </si>
  <si>
    <t xml:space="preserve">Respond</t>
  </si>
  <si>
    <t xml:space="preserve">RS.MA-01</t>
  </si>
  <si>
    <t xml:space="preserve">IR-1, IR-4, IR-8</t>
  </si>
  <si>
    <t xml:space="preserve">A.5.24, A.5.26</t>
  </si>
  <si>
    <t xml:space="preserve">17.1, 17.4</t>
  </si>
  <si>
    <t xml:space="preserve">Establish and execute an incident response plan.</t>
  </si>
  <si>
    <t xml:space="preserve">Incident reporting &amp; comms</t>
  </si>
  <si>
    <t xml:space="preserve">RS.CO-02</t>
  </si>
  <si>
    <t xml:space="preserve">IR-6</t>
  </si>
  <si>
    <t xml:space="preserve">A.5.5, A.6.8</t>
  </si>
  <si>
    <t xml:space="preserve">17.2</t>
  </si>
  <si>
    <t xml:space="preserve">Report and communicate incidents to internal/external stakeholders.</t>
  </si>
  <si>
    <t xml:space="preserve">Incident mitigation</t>
  </si>
  <si>
    <t xml:space="preserve">RS.MI-01</t>
  </si>
  <si>
    <t xml:space="preserve">IR-4</t>
  </si>
  <si>
    <t xml:space="preserve">A.5.26</t>
  </si>
  <si>
    <t xml:space="preserve">17.6, 17.9</t>
  </si>
  <si>
    <t xml:space="preserve">Contain and eradicate incidents.</t>
  </si>
  <si>
    <t xml:space="preserve">Data backups</t>
  </si>
  <si>
    <t xml:space="preserve">Recover</t>
  </si>
  <si>
    <t xml:space="preserve">RC.RP-01</t>
  </si>
  <si>
    <t xml:space="preserve">CP-9</t>
  </si>
  <si>
    <t xml:space="preserve">A.8.13</t>
  </si>
  <si>
    <t xml:space="preserve">11.1, 11.2</t>
  </si>
  <si>
    <t xml:space="preserve">Create and protect backups of critical data.</t>
  </si>
  <si>
    <t xml:space="preserve">Recovery plan execution</t>
  </si>
  <si>
    <t xml:space="preserve">CP-10, IR-4</t>
  </si>
  <si>
    <t xml:space="preserve">A.5.29, A.5.30</t>
  </si>
  <si>
    <t xml:space="preserve">11.3, 11.5</t>
  </si>
  <si>
    <t xml:space="preserve">Execute recovery to restore systems and data (RTO/RPO).</t>
  </si>
  <si>
    <t xml:space="preserve">Recovery communications</t>
  </si>
  <si>
    <t xml:space="preserve">RC.CO-03</t>
  </si>
  <si>
    <t xml:space="preserve">CP-2, IR-6</t>
  </si>
  <si>
    <t xml:space="preserve">A.5.24</t>
  </si>
  <si>
    <t xml:space="preserve">Coordinate restoration communications with stakeholders.</t>
  </si>
  <si>
    <t xml:space="preserve">Control Crosswalk Lookup</t>
  </si>
  <si>
    <t xml:space="preserve">Pick a control area; the equivalents in every framework fill in automatically.</t>
  </si>
  <si>
    <t xml:space="preserve">Select control area:</t>
  </si>
  <si>
    <t xml:space="preserve">Result</t>
  </si>
  <si>
    <t xml:space="preserve">Yellow cell = the input you change (dropdown). Everything else is INDEX/MATCH formulas.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</si>
</sst>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AD1DC"/>
        <bgColor rgb="FFD9E1F2"/>
      </patternFill>
    </fill>
    <fill>
      <patternFill patternType="solid">
        <fgColor rgb="FFDDEBF7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AD1D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3" min="3" style="0" width="92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  <c r="C5" s="4"/>
    </row>
    <row r="6" customFormat="false" ht="23.85" hidden="false" customHeight="false" outlineLevel="0" collapsed="false">
      <c r="B6" s="5" t="s">
        <v>2</v>
      </c>
      <c r="C6" s="4" t="s">
        <v>3</v>
      </c>
    </row>
    <row r="7" customFormat="false" ht="15" hidden="false" customHeight="false" outlineLevel="0" collapsed="false">
      <c r="B7" s="5" t="s">
        <v>4</v>
      </c>
      <c r="C7" s="4" t="s">
        <v>5</v>
      </c>
    </row>
    <row r="8" customFormat="false" ht="23.85" hidden="false" customHeight="false" outlineLevel="0" collapsed="false">
      <c r="B8" s="5" t="s">
        <v>6</v>
      </c>
      <c r="C8" s="4" t="s">
        <v>7</v>
      </c>
    </row>
    <row r="9" customFormat="false" ht="23.85" hidden="false" customHeight="false" outlineLevel="0" collapsed="false">
      <c r="B9" s="5" t="s">
        <v>8</v>
      </c>
      <c r="C9" s="4" t="s">
        <v>9</v>
      </c>
    </row>
    <row r="10" customFormat="false" ht="23.85" hidden="false" customHeight="false" outlineLevel="0" collapsed="false">
      <c r="B10" s="5" t="s">
        <v>10</v>
      </c>
      <c r="C10" s="4" t="s">
        <v>11</v>
      </c>
    </row>
    <row r="11" customFormat="false" ht="23.85" hidden="false" customHeight="false" outlineLevel="0" collapsed="false">
      <c r="B11" s="5" t="s">
        <v>12</v>
      </c>
      <c r="C11" s="4" t="s">
        <v>13</v>
      </c>
    </row>
    <row r="12" customFormat="false" ht="15" hidden="false" customHeight="false" outlineLevel="0" collapsed="false">
      <c r="B12" s="5" t="s">
        <v>14</v>
      </c>
      <c r="C12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5" min="4" style="0" width="18"/>
    <col collapsed="false" customWidth="true" hidden="false" outlineLevel="0" max="6" min="6" style="0" width="12"/>
    <col collapsed="false" customWidth="true" hidden="false" outlineLevel="0" max="7" min="7" style="0" width="52"/>
  </cols>
  <sheetData>
    <row r="1" customFormat="false" ht="26.85" hidden="false" customHeight="false" outlineLevel="0" collapsed="false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</row>
    <row r="2" customFormat="false" ht="23.85" hidden="false" customHeight="false" outlineLevel="0" collapsed="false">
      <c r="A2" s="7" t="s">
        <v>23</v>
      </c>
      <c r="B2" s="8" t="s">
        <v>24</v>
      </c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</row>
    <row r="3" customFormat="false" ht="23.85" hidden="false" customHeight="false" outlineLevel="0" collapsed="false">
      <c r="A3" s="7" t="s">
        <v>30</v>
      </c>
      <c r="B3" s="8" t="s">
        <v>24</v>
      </c>
      <c r="C3" s="7" t="s">
        <v>31</v>
      </c>
      <c r="D3" s="7" t="s">
        <v>32</v>
      </c>
      <c r="E3" s="7" t="s">
        <v>33</v>
      </c>
      <c r="F3" s="7" t="s">
        <v>28</v>
      </c>
      <c r="G3" s="7" t="s">
        <v>34</v>
      </c>
    </row>
    <row r="4" customFormat="false" ht="23.85" hidden="false" customHeight="false" outlineLevel="0" collapsed="false">
      <c r="A4" s="7" t="s">
        <v>35</v>
      </c>
      <c r="B4" s="8" t="s">
        <v>24</v>
      </c>
      <c r="C4" s="7" t="s">
        <v>36</v>
      </c>
      <c r="D4" s="7" t="s">
        <v>37</v>
      </c>
      <c r="E4" s="7" t="s">
        <v>27</v>
      </c>
      <c r="F4" s="7" t="s">
        <v>28</v>
      </c>
      <c r="G4" s="7" t="s">
        <v>38</v>
      </c>
    </row>
    <row r="5" customFormat="false" ht="23.85" hidden="false" customHeight="false" outlineLevel="0" collapsed="false">
      <c r="A5" s="7" t="s">
        <v>39</v>
      </c>
      <c r="B5" s="8" t="s">
        <v>24</v>
      </c>
      <c r="C5" s="7" t="s">
        <v>40</v>
      </c>
      <c r="D5" s="7" t="s">
        <v>41</v>
      </c>
      <c r="E5" s="7" t="s">
        <v>42</v>
      </c>
      <c r="F5" s="7" t="s">
        <v>43</v>
      </c>
      <c r="G5" s="7" t="s">
        <v>44</v>
      </c>
    </row>
    <row r="6" customFormat="false" ht="15" hidden="false" customHeight="false" outlineLevel="0" collapsed="false">
      <c r="A6" s="7" t="s">
        <v>45</v>
      </c>
      <c r="B6" s="9" t="s">
        <v>46</v>
      </c>
      <c r="C6" s="7" t="s">
        <v>47</v>
      </c>
      <c r="D6" s="7" t="s">
        <v>48</v>
      </c>
      <c r="E6" s="7" t="s">
        <v>49</v>
      </c>
      <c r="F6" s="7" t="s">
        <v>50</v>
      </c>
      <c r="G6" s="7" t="s">
        <v>51</v>
      </c>
    </row>
    <row r="7" customFormat="false" ht="15" hidden="false" customHeight="false" outlineLevel="0" collapsed="false">
      <c r="A7" s="7" t="s">
        <v>52</v>
      </c>
      <c r="B7" s="9" t="s">
        <v>46</v>
      </c>
      <c r="C7" s="7" t="s">
        <v>53</v>
      </c>
      <c r="D7" s="7" t="s">
        <v>54</v>
      </c>
      <c r="E7" s="7" t="s">
        <v>49</v>
      </c>
      <c r="F7" s="7" t="s">
        <v>55</v>
      </c>
      <c r="G7" s="7" t="s">
        <v>56</v>
      </c>
    </row>
    <row r="8" customFormat="false" ht="15" hidden="false" customHeight="false" outlineLevel="0" collapsed="false">
      <c r="A8" s="7" t="s">
        <v>57</v>
      </c>
      <c r="B8" s="9" t="s">
        <v>46</v>
      </c>
      <c r="C8" s="7" t="s">
        <v>58</v>
      </c>
      <c r="D8" s="7" t="s">
        <v>59</v>
      </c>
      <c r="E8" s="7" t="s">
        <v>60</v>
      </c>
      <c r="F8" s="7" t="s">
        <v>61</v>
      </c>
      <c r="G8" s="7" t="s">
        <v>62</v>
      </c>
    </row>
    <row r="9" customFormat="false" ht="15" hidden="false" customHeight="false" outlineLevel="0" collapsed="false">
      <c r="A9" s="7" t="s">
        <v>63</v>
      </c>
      <c r="B9" s="9" t="s">
        <v>46</v>
      </c>
      <c r="C9" s="7" t="s">
        <v>64</v>
      </c>
      <c r="D9" s="7" t="s">
        <v>65</v>
      </c>
      <c r="E9" s="7" t="s">
        <v>66</v>
      </c>
      <c r="F9" s="7" t="s">
        <v>28</v>
      </c>
      <c r="G9" s="7" t="s">
        <v>67</v>
      </c>
    </row>
    <row r="10" customFormat="false" ht="15" hidden="false" customHeight="false" outlineLevel="0" collapsed="false">
      <c r="A10" s="7" t="s">
        <v>68</v>
      </c>
      <c r="B10" s="9" t="s">
        <v>46</v>
      </c>
      <c r="C10" s="7" t="s">
        <v>69</v>
      </c>
      <c r="D10" s="7" t="s">
        <v>70</v>
      </c>
      <c r="E10" s="7" t="s">
        <v>71</v>
      </c>
      <c r="F10" s="7" t="s">
        <v>72</v>
      </c>
      <c r="G10" s="7" t="s">
        <v>73</v>
      </c>
    </row>
    <row r="11" customFormat="false" ht="15" hidden="false" customHeight="false" outlineLevel="0" collapsed="false">
      <c r="A11" s="7" t="s">
        <v>74</v>
      </c>
      <c r="B11" s="10" t="s">
        <v>75</v>
      </c>
      <c r="C11" s="7" t="s">
        <v>76</v>
      </c>
      <c r="D11" s="7" t="s">
        <v>77</v>
      </c>
      <c r="E11" s="7" t="s">
        <v>78</v>
      </c>
      <c r="F11" s="7" t="s">
        <v>79</v>
      </c>
      <c r="G11" s="7" t="s">
        <v>80</v>
      </c>
    </row>
    <row r="12" customFormat="false" ht="23.85" hidden="false" customHeight="false" outlineLevel="0" collapsed="false">
      <c r="A12" s="7" t="s">
        <v>81</v>
      </c>
      <c r="B12" s="10" t="s">
        <v>75</v>
      </c>
      <c r="C12" s="7" t="s">
        <v>82</v>
      </c>
      <c r="D12" s="7" t="s">
        <v>83</v>
      </c>
      <c r="E12" s="7" t="s">
        <v>84</v>
      </c>
      <c r="F12" s="7" t="s">
        <v>85</v>
      </c>
      <c r="G12" s="7" t="s">
        <v>86</v>
      </c>
    </row>
    <row r="13" customFormat="false" ht="15" hidden="false" customHeight="false" outlineLevel="0" collapsed="false">
      <c r="A13" s="7" t="s">
        <v>87</v>
      </c>
      <c r="B13" s="10" t="s">
        <v>75</v>
      </c>
      <c r="C13" s="7" t="s">
        <v>88</v>
      </c>
      <c r="D13" s="7" t="s">
        <v>89</v>
      </c>
      <c r="E13" s="7" t="s">
        <v>90</v>
      </c>
      <c r="F13" s="7" t="s">
        <v>91</v>
      </c>
      <c r="G13" s="7" t="s">
        <v>92</v>
      </c>
    </row>
    <row r="14" customFormat="false" ht="15" hidden="false" customHeight="false" outlineLevel="0" collapsed="false">
      <c r="A14" s="7" t="s">
        <v>93</v>
      </c>
      <c r="B14" s="10" t="s">
        <v>75</v>
      </c>
      <c r="C14" s="7" t="s">
        <v>94</v>
      </c>
      <c r="D14" s="7" t="s">
        <v>95</v>
      </c>
      <c r="E14" s="7" t="s">
        <v>96</v>
      </c>
      <c r="F14" s="7" t="s">
        <v>97</v>
      </c>
      <c r="G14" s="7" t="s">
        <v>98</v>
      </c>
    </row>
    <row r="15" customFormat="false" ht="15" hidden="false" customHeight="false" outlineLevel="0" collapsed="false">
      <c r="A15" s="7" t="s">
        <v>99</v>
      </c>
      <c r="B15" s="10" t="s">
        <v>75</v>
      </c>
      <c r="C15" s="7" t="s">
        <v>100</v>
      </c>
      <c r="D15" s="7" t="s">
        <v>101</v>
      </c>
      <c r="E15" s="7" t="s">
        <v>96</v>
      </c>
      <c r="F15" s="7" t="s">
        <v>102</v>
      </c>
      <c r="G15" s="7" t="s">
        <v>103</v>
      </c>
    </row>
    <row r="16" customFormat="false" ht="15" hidden="false" customHeight="false" outlineLevel="0" collapsed="false">
      <c r="A16" s="7" t="s">
        <v>104</v>
      </c>
      <c r="B16" s="10" t="s">
        <v>75</v>
      </c>
      <c r="C16" s="7" t="s">
        <v>105</v>
      </c>
      <c r="D16" s="7" t="s">
        <v>106</v>
      </c>
      <c r="E16" s="7" t="s">
        <v>107</v>
      </c>
      <c r="F16" s="7" t="s">
        <v>108</v>
      </c>
      <c r="G16" s="7" t="s">
        <v>109</v>
      </c>
    </row>
    <row r="17" customFormat="false" ht="15" hidden="false" customHeight="false" outlineLevel="0" collapsed="false">
      <c r="A17" s="7" t="s">
        <v>110</v>
      </c>
      <c r="B17" s="10" t="s">
        <v>75</v>
      </c>
      <c r="C17" s="7" t="s">
        <v>111</v>
      </c>
      <c r="D17" s="7" t="s">
        <v>112</v>
      </c>
      <c r="E17" s="7" t="s">
        <v>113</v>
      </c>
      <c r="F17" s="7" t="s">
        <v>114</v>
      </c>
      <c r="G17" s="7" t="s">
        <v>115</v>
      </c>
    </row>
    <row r="18" customFormat="false" ht="23.85" hidden="false" customHeight="false" outlineLevel="0" collapsed="false">
      <c r="A18" s="7" t="s">
        <v>116</v>
      </c>
      <c r="B18" s="10" t="s">
        <v>75</v>
      </c>
      <c r="C18" s="7" t="s">
        <v>105</v>
      </c>
      <c r="D18" s="7" t="s">
        <v>117</v>
      </c>
      <c r="E18" s="7" t="s">
        <v>107</v>
      </c>
      <c r="F18" s="7" t="s">
        <v>108</v>
      </c>
      <c r="G18" s="7" t="s">
        <v>118</v>
      </c>
    </row>
    <row r="19" customFormat="false" ht="23.85" hidden="false" customHeight="false" outlineLevel="0" collapsed="false">
      <c r="A19" s="7" t="s">
        <v>119</v>
      </c>
      <c r="B19" s="10" t="s">
        <v>75</v>
      </c>
      <c r="C19" s="7" t="s">
        <v>120</v>
      </c>
      <c r="D19" s="7" t="s">
        <v>121</v>
      </c>
      <c r="E19" s="7" t="s">
        <v>122</v>
      </c>
      <c r="F19" s="7" t="s">
        <v>123</v>
      </c>
      <c r="G19" s="7" t="s">
        <v>124</v>
      </c>
    </row>
    <row r="20" customFormat="false" ht="15" hidden="false" customHeight="false" outlineLevel="0" collapsed="false">
      <c r="A20" s="7" t="s">
        <v>125</v>
      </c>
      <c r="B20" s="10" t="s">
        <v>75</v>
      </c>
      <c r="C20" s="7" t="s">
        <v>126</v>
      </c>
      <c r="D20" s="7" t="s">
        <v>127</v>
      </c>
      <c r="E20" s="7" t="s">
        <v>71</v>
      </c>
      <c r="F20" s="7" t="s">
        <v>128</v>
      </c>
      <c r="G20" s="7" t="s">
        <v>129</v>
      </c>
    </row>
    <row r="21" customFormat="false" ht="15" hidden="false" customHeight="false" outlineLevel="0" collapsed="false">
      <c r="A21" s="7" t="s">
        <v>130</v>
      </c>
      <c r="B21" s="10" t="s">
        <v>75</v>
      </c>
      <c r="C21" s="7" t="s">
        <v>131</v>
      </c>
      <c r="D21" s="7" t="s">
        <v>132</v>
      </c>
      <c r="E21" s="7" t="s">
        <v>133</v>
      </c>
      <c r="F21" s="7" t="s">
        <v>134</v>
      </c>
      <c r="G21" s="7" t="s">
        <v>135</v>
      </c>
    </row>
    <row r="22" customFormat="false" ht="15" hidden="false" customHeight="false" outlineLevel="0" collapsed="false">
      <c r="A22" s="7" t="s">
        <v>136</v>
      </c>
      <c r="B22" s="10" t="s">
        <v>75</v>
      </c>
      <c r="C22" s="7" t="s">
        <v>137</v>
      </c>
      <c r="D22" s="7" t="s">
        <v>138</v>
      </c>
      <c r="E22" s="7" t="s">
        <v>139</v>
      </c>
      <c r="F22" s="7" t="s">
        <v>140</v>
      </c>
      <c r="G22" s="7" t="s">
        <v>141</v>
      </c>
    </row>
    <row r="23" customFormat="false" ht="23.85" hidden="false" customHeight="false" outlineLevel="0" collapsed="false">
      <c r="A23" s="7" t="s">
        <v>142</v>
      </c>
      <c r="B23" s="10" t="s">
        <v>75</v>
      </c>
      <c r="C23" s="7" t="s">
        <v>143</v>
      </c>
      <c r="D23" s="7" t="s">
        <v>144</v>
      </c>
      <c r="E23" s="7" t="s">
        <v>145</v>
      </c>
      <c r="F23" s="7" t="s">
        <v>146</v>
      </c>
      <c r="G23" s="7" t="s">
        <v>147</v>
      </c>
    </row>
    <row r="24" customFormat="false" ht="15" hidden="false" customHeight="false" outlineLevel="0" collapsed="false">
      <c r="A24" s="7" t="s">
        <v>148</v>
      </c>
      <c r="B24" s="10" t="s">
        <v>75</v>
      </c>
      <c r="C24" s="7" t="s">
        <v>143</v>
      </c>
      <c r="D24" s="7" t="s">
        <v>149</v>
      </c>
      <c r="E24" s="7" t="s">
        <v>150</v>
      </c>
      <c r="F24" s="7" t="s">
        <v>151</v>
      </c>
      <c r="G24" s="7" t="s">
        <v>152</v>
      </c>
    </row>
    <row r="25" customFormat="false" ht="15" hidden="false" customHeight="false" outlineLevel="0" collapsed="false">
      <c r="A25" s="7" t="s">
        <v>153</v>
      </c>
      <c r="B25" s="11" t="s">
        <v>154</v>
      </c>
      <c r="C25" s="7" t="s">
        <v>155</v>
      </c>
      <c r="D25" s="7" t="s">
        <v>156</v>
      </c>
      <c r="E25" s="7" t="s">
        <v>157</v>
      </c>
      <c r="F25" s="7" t="s">
        <v>158</v>
      </c>
      <c r="G25" s="7" t="s">
        <v>159</v>
      </c>
    </row>
    <row r="26" customFormat="false" ht="15" hidden="false" customHeight="false" outlineLevel="0" collapsed="false">
      <c r="A26" s="7" t="s">
        <v>160</v>
      </c>
      <c r="B26" s="11" t="s">
        <v>154</v>
      </c>
      <c r="C26" s="7" t="s">
        <v>161</v>
      </c>
      <c r="D26" s="7" t="s">
        <v>162</v>
      </c>
      <c r="E26" s="7" t="s">
        <v>157</v>
      </c>
      <c r="F26" s="7" t="s">
        <v>163</v>
      </c>
      <c r="G26" s="7" t="s">
        <v>164</v>
      </c>
    </row>
    <row r="27" customFormat="false" ht="15" hidden="false" customHeight="false" outlineLevel="0" collapsed="false">
      <c r="A27" s="7" t="s">
        <v>165</v>
      </c>
      <c r="B27" s="12" t="s">
        <v>166</v>
      </c>
      <c r="C27" s="7" t="s">
        <v>167</v>
      </c>
      <c r="D27" s="7" t="s">
        <v>168</v>
      </c>
      <c r="E27" s="7" t="s">
        <v>169</v>
      </c>
      <c r="F27" s="7" t="s">
        <v>170</v>
      </c>
      <c r="G27" s="7" t="s">
        <v>171</v>
      </c>
    </row>
    <row r="28" customFormat="false" ht="23.85" hidden="false" customHeight="false" outlineLevel="0" collapsed="false">
      <c r="A28" s="7" t="s">
        <v>172</v>
      </c>
      <c r="B28" s="12" t="s">
        <v>166</v>
      </c>
      <c r="C28" s="7" t="s">
        <v>173</v>
      </c>
      <c r="D28" s="7" t="s">
        <v>174</v>
      </c>
      <c r="E28" s="7" t="s">
        <v>175</v>
      </c>
      <c r="F28" s="7" t="s">
        <v>176</v>
      </c>
      <c r="G28" s="7" t="s">
        <v>177</v>
      </c>
    </row>
    <row r="29" customFormat="false" ht="15" hidden="false" customHeight="false" outlineLevel="0" collapsed="false">
      <c r="A29" s="7" t="s">
        <v>178</v>
      </c>
      <c r="B29" s="12" t="s">
        <v>166</v>
      </c>
      <c r="C29" s="7" t="s">
        <v>179</v>
      </c>
      <c r="D29" s="7" t="s">
        <v>180</v>
      </c>
      <c r="E29" s="7" t="s">
        <v>181</v>
      </c>
      <c r="F29" s="7" t="s">
        <v>182</v>
      </c>
      <c r="G29" s="7" t="s">
        <v>183</v>
      </c>
    </row>
    <row r="30" customFormat="false" ht="15" hidden="false" customHeight="false" outlineLevel="0" collapsed="false">
      <c r="A30" s="7" t="s">
        <v>184</v>
      </c>
      <c r="B30" s="13" t="s">
        <v>185</v>
      </c>
      <c r="C30" s="7" t="s">
        <v>186</v>
      </c>
      <c r="D30" s="7" t="s">
        <v>187</v>
      </c>
      <c r="E30" s="7" t="s">
        <v>188</v>
      </c>
      <c r="F30" s="7" t="s">
        <v>189</v>
      </c>
      <c r="G30" s="7" t="s">
        <v>190</v>
      </c>
    </row>
    <row r="31" customFormat="false" ht="15" hidden="false" customHeight="false" outlineLevel="0" collapsed="false">
      <c r="A31" s="7" t="s">
        <v>191</v>
      </c>
      <c r="B31" s="13" t="s">
        <v>185</v>
      </c>
      <c r="C31" s="7" t="s">
        <v>186</v>
      </c>
      <c r="D31" s="7" t="s">
        <v>192</v>
      </c>
      <c r="E31" s="7" t="s">
        <v>193</v>
      </c>
      <c r="F31" s="7" t="s">
        <v>194</v>
      </c>
      <c r="G31" s="7" t="s">
        <v>195</v>
      </c>
    </row>
    <row r="32" customFormat="false" ht="15" hidden="false" customHeight="false" outlineLevel="0" collapsed="false">
      <c r="A32" s="7" t="s">
        <v>196</v>
      </c>
      <c r="B32" s="13" t="s">
        <v>185</v>
      </c>
      <c r="C32" s="7" t="s">
        <v>197</v>
      </c>
      <c r="D32" s="7" t="s">
        <v>198</v>
      </c>
      <c r="E32" s="7" t="s">
        <v>199</v>
      </c>
      <c r="F32" s="7" t="s">
        <v>28</v>
      </c>
      <c r="G32" s="7" t="s">
        <v>200</v>
      </c>
    </row>
  </sheetData>
  <autoFilter ref="A1:G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3" min="3" style="0" width="70"/>
  </cols>
  <sheetData>
    <row r="2" customFormat="false" ht="19.7" hidden="false" customHeight="false" outlineLevel="0" collapsed="false">
      <c r="B2" s="1" t="s">
        <v>201</v>
      </c>
    </row>
    <row r="3" customFormat="false" ht="15" hidden="false" customHeight="false" outlineLevel="0" collapsed="false">
      <c r="B3" s="2" t="s">
        <v>202</v>
      </c>
    </row>
    <row r="5" customFormat="false" ht="15" hidden="false" customHeight="false" outlineLevel="0" collapsed="false">
      <c r="B5" s="5" t="s">
        <v>203</v>
      </c>
      <c r="C5" s="14" t="s">
        <v>81</v>
      </c>
    </row>
    <row r="7" customFormat="false" ht="15" hidden="false" customHeight="false" outlineLevel="0" collapsed="false">
      <c r="B7" s="15" t="s">
        <v>204</v>
      </c>
    </row>
    <row r="8" customFormat="false" ht="15" hidden="false" customHeight="false" outlineLevel="0" collapsed="false">
      <c r="B8" s="16" t="s">
        <v>17</v>
      </c>
      <c r="C8" s="17" t="str">
        <f aca="false">INDEX(Crosswalk!$B$2:$B$32,MATCH($C$5,Crosswalk!$A$2:$A$32,0))</f>
        <v>Protect</v>
      </c>
    </row>
    <row r="9" customFormat="false" ht="15" hidden="false" customHeight="false" outlineLevel="0" collapsed="false">
      <c r="B9" s="16" t="s">
        <v>18</v>
      </c>
      <c r="C9" s="17" t="str">
        <f aca="false">INDEX(Crosswalk!$C$2:$C$32,MATCH($C$5,Crosswalk!$A$2:$A$32,0))</f>
        <v>PR.AA-03</v>
      </c>
    </row>
    <row r="10" customFormat="false" ht="15" hidden="false" customHeight="false" outlineLevel="0" collapsed="false">
      <c r="B10" s="16" t="s">
        <v>19</v>
      </c>
      <c r="C10" s="17" t="str">
        <f aca="false">INDEX(Crosswalk!$D$2:$D$32,MATCH($C$5,Crosswalk!$A$2:$A$32,0))</f>
        <v>IA-2(1), IA-2(2)</v>
      </c>
    </row>
    <row r="11" customFormat="false" ht="15" hidden="false" customHeight="false" outlineLevel="0" collapsed="false">
      <c r="B11" s="16" t="s">
        <v>20</v>
      </c>
      <c r="C11" s="17" t="str">
        <f aca="false">INDEX(Crosswalk!$E$2:$E$32,MATCH($C$5,Crosswalk!$A$2:$A$32,0))</f>
        <v>A.8.5</v>
      </c>
    </row>
    <row r="12" customFormat="false" ht="15" hidden="false" customHeight="false" outlineLevel="0" collapsed="false">
      <c r="B12" s="16" t="s">
        <v>21</v>
      </c>
      <c r="C12" s="17" t="str">
        <f aca="false">INDEX(Crosswalk!$F$2:$F$32,MATCH($C$5,Crosswalk!$A$2:$A$32,0))</f>
        <v>6.3, 6.4, 6.5</v>
      </c>
    </row>
    <row r="13" customFormat="false" ht="15" hidden="false" customHeight="false" outlineLevel="0" collapsed="false">
      <c r="B13" s="16" t="s">
        <v>22</v>
      </c>
      <c r="C13" s="17" t="str">
        <f aca="false">INDEX(Crosswalk!$G$2:$G$32,MATCH($C$5,Crosswalk!$A$2:$A$32,0))</f>
        <v>Authenticate users; enforce MFA for remote and privileged access.</v>
      </c>
    </row>
    <row r="16" customFormat="false" ht="15" hidden="false" customHeight="false" outlineLevel="0" collapsed="false">
      <c r="B16" s="18" t="s">
        <v>205</v>
      </c>
    </row>
  </sheetData>
  <dataValidations count="1">
    <dataValidation allowBlank="false" errorStyle="stop" operator="between" showDropDown="false" showErrorMessage="false" showInputMessage="false" sqref="C5" type="list">
      <formula1>Crosswalk!$A$2:$A$32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2026-10-23T02:00:58Z</dcterms:created>
  <dc:creator>openpyxl</dc:creator>
  <dc:description/>
  <dc:language>en-US</dc:language>
  <cp:lastModifiedBy/>
  <dcterms:modified xsi:type="dcterms:W3CDTF">2026-10-23T02:00:58Z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